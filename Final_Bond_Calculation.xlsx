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762e3d45f1f39c/Desktop/"/>
    </mc:Choice>
  </mc:AlternateContent>
  <xr:revisionPtr revIDLastSave="0" documentId="8_{6C0A2510-0A39-44A2-A2FA-3232DFA848E7}" xr6:coauthVersionLast="47" xr6:coauthVersionMax="47" xr10:uidLastSave="{00000000-0000-0000-0000-000000000000}"/>
  <bookViews>
    <workbookView xWindow="-108" yWindow="-108" windowWidth="23256" windowHeight="12456" activeTab="1" xr2:uid="{ACA1411A-5A98-4856-83EA-CBF1D5676EF9}"/>
  </bookViews>
  <sheets>
    <sheet name="Bond Basic Info" sheetId="1" r:id="rId1"/>
    <sheet name="Cashflow per un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2" l="1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7" i="2"/>
  <c r="H16" i="2"/>
  <c r="H18" i="2"/>
  <c r="G17" i="2" l="1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16" i="2"/>
  <c r="D15" i="2"/>
  <c r="D16" i="2" s="1"/>
  <c r="E16" i="2" s="1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17" i="2"/>
  <c r="B16" i="2"/>
  <c r="B15" i="2"/>
  <c r="C34" i="2" l="1"/>
  <c r="D17" i="2"/>
  <c r="D18" i="2" s="1"/>
  <c r="D19" i="2" s="1"/>
  <c r="F16" i="2"/>
  <c r="E17" i="2" l="1"/>
  <c r="E18" i="2"/>
  <c r="F17" i="2"/>
  <c r="F18" i="2"/>
  <c r="D20" i="2"/>
  <c r="E19" i="2"/>
  <c r="F19" i="2" l="1"/>
  <c r="D21" i="2"/>
  <c r="E20" i="2"/>
  <c r="D22" i="2" l="1"/>
  <c r="E21" i="2"/>
  <c r="F20" i="2"/>
  <c r="D23" i="2" l="1"/>
  <c r="E22" i="2"/>
  <c r="F21" i="2"/>
  <c r="F22" i="2" l="1"/>
  <c r="D24" i="2"/>
  <c r="E23" i="2"/>
  <c r="F23" i="2" l="1"/>
  <c r="D25" i="2"/>
  <c r="E24" i="2"/>
  <c r="F24" i="2" l="1"/>
  <c r="D26" i="2"/>
  <c r="E25" i="2"/>
  <c r="F25" i="2" l="1"/>
  <c r="D27" i="2"/>
  <c r="E26" i="2"/>
  <c r="F26" i="2" l="1"/>
  <c r="D28" i="2"/>
  <c r="E27" i="2"/>
  <c r="F27" i="2" l="1"/>
  <c r="D29" i="2"/>
  <c r="E28" i="2"/>
  <c r="F28" i="2" l="1"/>
  <c r="D30" i="2"/>
  <c r="E29" i="2"/>
  <c r="F29" i="2" l="1"/>
  <c r="D31" i="2"/>
  <c r="E30" i="2"/>
  <c r="F30" i="2" l="1"/>
  <c r="D32" i="2"/>
  <c r="E31" i="2"/>
  <c r="D33" i="2" l="1"/>
  <c r="E33" i="2" s="1"/>
  <c r="E32" i="2"/>
  <c r="F31" i="2"/>
  <c r="F32" i="2" l="1"/>
  <c r="F33" i="2"/>
  <c r="E34" i="2"/>
  <c r="F34" i="2" l="1"/>
  <c r="H34" i="2" l="1"/>
  <c r="D10" i="2" s="1"/>
</calcChain>
</file>

<file path=xl/sharedStrings.xml><?xml version="1.0" encoding="utf-8"?>
<sst xmlns="http://schemas.openxmlformats.org/spreadsheetml/2006/main" count="39" uniqueCount="34">
  <si>
    <t>Deal ID</t>
  </si>
  <si>
    <t>Face Value</t>
  </si>
  <si>
    <t>Bond Start Date</t>
  </si>
  <si>
    <t>Start Date</t>
  </si>
  <si>
    <t>End Date</t>
  </si>
  <si>
    <t xml:space="preserve"> </t>
  </si>
  <si>
    <t xml:space="preserve">Coupon </t>
  </si>
  <si>
    <t>Primary IRR%</t>
  </si>
  <si>
    <t>Client IRR%</t>
  </si>
  <si>
    <t>Description</t>
  </si>
  <si>
    <t>ISIN</t>
  </si>
  <si>
    <t>Company Details</t>
  </si>
  <si>
    <t>Cashflows Per Unit</t>
  </si>
  <si>
    <t>Date</t>
  </si>
  <si>
    <t>No of days</t>
  </si>
  <si>
    <t>Principal Repayment</t>
  </si>
  <si>
    <t>Interest Repayment</t>
  </si>
  <si>
    <t>Balance Principal</t>
  </si>
  <si>
    <t>Total Payout</t>
  </si>
  <si>
    <t>No of days from Investment</t>
  </si>
  <si>
    <t>Cash Flow</t>
  </si>
  <si>
    <t>Bond Investment Date</t>
  </si>
  <si>
    <t>Bond Name</t>
  </si>
  <si>
    <t>Coupon %</t>
  </si>
  <si>
    <t>Primary IRR %</t>
  </si>
  <si>
    <t>Client IRR %</t>
  </si>
  <si>
    <t>CDUCIC01</t>
  </si>
  <si>
    <t>INE0BSV07047</t>
  </si>
  <si>
    <t>UC INCLUSIVE CREDIT PRIVATE LIMITED</t>
  </si>
  <si>
    <t>Bond Maturity Date</t>
  </si>
  <si>
    <t>Bond Purchase Value</t>
  </si>
  <si>
    <t>Total</t>
  </si>
  <si>
    <t>Unit to buy</t>
  </si>
  <si>
    <t>To derive current Price on the investment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</si>
</sst>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Fill="1"/>
    <xf numFmtId="0" fontId="2" fillId="0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/>
    </xf>
    <xf numFmtId="0" fontId="2" fillId="0" borderId="0" xfId="1" applyFont="1" applyFill="1" applyAlignment="1">
      <alignment horizontal="center"/>
    </xf>
    <xf numFmtId="0" fontId="0" fillId="0" borderId="0" xfId="0" applyBorder="1"/>
    <xf numFmtId="0" fontId="1" fillId="0" borderId="0" xfId="1" applyBorder="1" applyAlignment="1">
      <alignment horizontal="center"/>
    </xf>
    <xf numFmtId="14" fontId="1" fillId="0" borderId="0" xfId="1" applyNumberFormat="1" applyBorder="1" applyAlignment="1">
      <alignment horizontal="center"/>
    </xf>
    <xf numFmtId="15" fontId="1" fillId="0" borderId="0" xfId="1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1" fillId="0" borderId="0" xfId="1" applyBorder="1" applyAlignment="1">
      <alignment horizontal="left"/>
    </xf>
    <xf numFmtId="14" fontId="1" fillId="0" borderId="0" xfId="1" applyNumberFormat="1" applyBorder="1" applyAlignment="1">
      <alignment horizontal="left"/>
    </xf>
    <xf numFmtId="15" fontId="1" fillId="0" borderId="0" xfId="1" applyNumberFormat="1" applyBorder="1" applyAlignment="1">
      <alignment horizontal="left"/>
    </xf>
    <xf numFmtId="0" fontId="2" fillId="0" borderId="1" xfId="1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15" fontId="0" fillId="0" borderId="0" xfId="0" applyNumberFormat="1" applyBorder="1" applyAlignment="1">
      <alignment horizontal="left"/>
    </xf>
    <xf numFmtId="2" fontId="0" fillId="0" borderId="0" xfId="0" applyNumberFormat="1"/>
    <xf numFmtId="10" fontId="1" fillId="0" borderId="0" xfId="1" applyNumberFormat="1" applyBorder="1" applyAlignment="1">
      <alignment horizontal="left"/>
    </xf>
    <xf numFmtId="9" fontId="1" fillId="0" borderId="0" xfId="1" applyNumberFormat="1" applyBorder="1" applyAlignment="1">
      <alignment horizontal="left"/>
    </xf>
    <xf numFmtId="1" fontId="0" fillId="0" borderId="0" xfId="0" applyNumberFormat="1"/>
    <xf numFmtId="0" fontId="0" fillId="0" borderId="0" xfId="0" applyFill="1" applyAlignment="1">
      <alignment horizontal="center"/>
    </xf>
  </cellXfs>
  <cellStyles count="2">
    <cellStyle name="Normal" xfId="0" builtinId="0"/>
    <cellStyle name="Normal 2" xfId="1" xr:uid="{D9EC0F17-7113-4DFA-9FD1-AA21308A74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B12F-1F13-44BF-BE0F-06D41634BE8D}">
  <dimension ref="A1:J5"/>
  <sheetViews>
    <sheetView workbookViewId="0">
      <selection sqref="A1:J1"/>
    </sheetView>
  </sheetViews>
  <sheetFormatPr defaultRowHeight="14.4" x14ac:dyDescent="0.3"/>
  <cols>
    <col min="1" max="1" width="6.88671875" bestFit="1" customWidth="1"/>
    <col min="2" max="2" width="4.33203125" bestFit="1" customWidth="1"/>
    <col min="3" max="3" width="9.77734375" bestFit="1" customWidth="1"/>
    <col min="4" max="4" width="14.77734375" bestFit="1" customWidth="1"/>
    <col min="5" max="5" width="9.21875" bestFit="1" customWidth="1"/>
    <col min="6" max="6" width="8.33203125" bestFit="1" customWidth="1"/>
    <col min="7" max="7" width="7.77734375" bestFit="1" customWidth="1"/>
    <col min="8" max="8" width="11.88671875" bestFit="1" customWidth="1"/>
    <col min="9" max="9" width="10.33203125" bestFit="1" customWidth="1"/>
    <col min="10" max="10" width="10.21875" bestFit="1" customWidth="1"/>
  </cols>
  <sheetData>
    <row r="1" spans="1:10" x14ac:dyDescent="0.3">
      <c r="A1" t="s">
        <v>0</v>
      </c>
      <c r="B1" t="s">
        <v>10</v>
      </c>
      <c r="C1" t="s">
        <v>1</v>
      </c>
      <c r="D1" t="s">
        <v>11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</row>
    <row r="5" spans="1:10" x14ac:dyDescent="0.3">
      <c r="C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83D8-CE6B-43C1-86F3-5E1F340336D9}">
  <dimension ref="A1:M34"/>
  <sheetViews>
    <sheetView tabSelected="1" workbookViewId="0">
      <selection activeCell="F18" sqref="F18"/>
    </sheetView>
  </sheetViews>
  <sheetFormatPr defaultRowHeight="14.4" x14ac:dyDescent="0.3"/>
  <cols>
    <col min="1" max="1" width="19.33203125" style="9" bestFit="1" customWidth="1"/>
    <col min="2" max="2" width="34.44140625" style="9" bestFit="1" customWidth="1"/>
    <col min="3" max="3" width="18.5546875" bestFit="1" customWidth="1"/>
    <col min="4" max="4" width="15.33203125" bestFit="1" customWidth="1"/>
    <col min="5" max="5" width="17.77734375" bestFit="1" customWidth="1"/>
    <col min="6" max="6" width="11.6640625" bestFit="1" customWidth="1"/>
    <col min="7" max="7" width="24.88671875" bestFit="1" customWidth="1"/>
    <col min="8" max="8" width="12.5546875" bestFit="1" customWidth="1"/>
  </cols>
  <sheetData>
    <row r="1" spans="1:13" x14ac:dyDescent="0.3">
      <c r="A1" s="9" t="s">
        <v>0</v>
      </c>
      <c r="B1" s="10" t="s">
        <v>26</v>
      </c>
    </row>
    <row r="2" spans="1:13" x14ac:dyDescent="0.3">
      <c r="A2" s="9" t="s">
        <v>10</v>
      </c>
      <c r="B2" s="11" t="s">
        <v>27</v>
      </c>
      <c r="F2" s="5"/>
      <c r="G2" s="5"/>
      <c r="H2" s="5"/>
      <c r="I2" s="5"/>
      <c r="J2" s="5"/>
      <c r="K2" s="5"/>
      <c r="L2" s="5"/>
      <c r="M2" s="5"/>
    </row>
    <row r="3" spans="1:13" x14ac:dyDescent="0.3">
      <c r="A3" s="9" t="s">
        <v>1</v>
      </c>
      <c r="B3" s="10">
        <v>500000</v>
      </c>
      <c r="F3" s="6"/>
      <c r="G3" s="6"/>
      <c r="H3" s="7"/>
      <c r="I3" s="8"/>
      <c r="J3" s="6"/>
      <c r="K3" s="6"/>
      <c r="L3" s="6"/>
      <c r="M3" s="5"/>
    </row>
    <row r="4" spans="1:13" x14ac:dyDescent="0.3">
      <c r="A4" s="9" t="s">
        <v>22</v>
      </c>
      <c r="B4" s="11" t="s">
        <v>28</v>
      </c>
    </row>
    <row r="5" spans="1:13" x14ac:dyDescent="0.3">
      <c r="A5" s="9" t="s">
        <v>23</v>
      </c>
      <c r="B5" s="18">
        <v>0.125</v>
      </c>
    </row>
    <row r="6" spans="1:13" x14ac:dyDescent="0.3">
      <c r="A6" s="9" t="s">
        <v>24</v>
      </c>
      <c r="B6" s="11">
        <v>13.24</v>
      </c>
    </row>
    <row r="7" spans="1:13" x14ac:dyDescent="0.3">
      <c r="A7" s="9" t="s">
        <v>25</v>
      </c>
      <c r="B7" s="19">
        <v>0.11</v>
      </c>
    </row>
    <row r="8" spans="1:13" x14ac:dyDescent="0.3">
      <c r="A8" s="9" t="s">
        <v>9</v>
      </c>
      <c r="B8" s="10"/>
    </row>
    <row r="9" spans="1:13" x14ac:dyDescent="0.3">
      <c r="A9" s="9" t="s">
        <v>2</v>
      </c>
      <c r="B9" s="12">
        <v>45740</v>
      </c>
    </row>
    <row r="10" spans="1:13" x14ac:dyDescent="0.3">
      <c r="A10" s="9" t="s">
        <v>21</v>
      </c>
      <c r="B10" s="16">
        <v>45790</v>
      </c>
      <c r="C10" t="s">
        <v>30</v>
      </c>
      <c r="D10">
        <f>H34</f>
        <v>449082.99215406325</v>
      </c>
      <c r="E10" t="s">
        <v>32</v>
      </c>
      <c r="F10">
        <v>15</v>
      </c>
      <c r="G10" t="s">
        <v>31</v>
      </c>
      <c r="H10" s="20">
        <f>D10*F10+1</f>
        <v>6736245.8823109483</v>
      </c>
    </row>
    <row r="11" spans="1:13" x14ac:dyDescent="0.3">
      <c r="A11" s="9" t="s">
        <v>29</v>
      </c>
      <c r="B11" s="13">
        <v>46289</v>
      </c>
    </row>
    <row r="13" spans="1:13" s="1" customFormat="1" x14ac:dyDescent="0.3">
      <c r="A13" s="4" t="s">
        <v>12</v>
      </c>
      <c r="B13" s="4"/>
      <c r="C13" s="4"/>
      <c r="D13" s="4"/>
      <c r="E13" s="4"/>
      <c r="F13" s="4"/>
      <c r="G13" s="21" t="s">
        <v>33</v>
      </c>
      <c r="H13" s="21"/>
    </row>
    <row r="14" spans="1:13" s="1" customFormat="1" x14ac:dyDescent="0.3">
      <c r="A14" s="14" t="s">
        <v>13</v>
      </c>
      <c r="B14" s="14" t="s">
        <v>14</v>
      </c>
      <c r="C14" s="2" t="s">
        <v>15</v>
      </c>
      <c r="D14" s="3" t="s">
        <v>17</v>
      </c>
      <c r="E14" s="2" t="s">
        <v>16</v>
      </c>
      <c r="F14" s="3" t="s">
        <v>18</v>
      </c>
      <c r="G14" s="3" t="s">
        <v>19</v>
      </c>
      <c r="H14" s="3" t="s">
        <v>20</v>
      </c>
    </row>
    <row r="15" spans="1:13" x14ac:dyDescent="0.3">
      <c r="A15" s="15">
        <v>45740</v>
      </c>
      <c r="B15" s="9">
        <f>A15-B9</f>
        <v>0</v>
      </c>
      <c r="C15">
        <v>0</v>
      </c>
      <c r="D15">
        <f>B3</f>
        <v>500000</v>
      </c>
      <c r="E15">
        <v>0</v>
      </c>
      <c r="F15">
        <v>0</v>
      </c>
    </row>
    <row r="16" spans="1:13" x14ac:dyDescent="0.3">
      <c r="A16" s="15">
        <v>45771</v>
      </c>
      <c r="B16" s="9">
        <f>A16-$B$9</f>
        <v>31</v>
      </c>
      <c r="C16" s="17">
        <f>$B$3/COUNT($A$16:$A$33)</f>
        <v>27777.777777777777</v>
      </c>
      <c r="D16" s="17">
        <f>D15</f>
        <v>500000</v>
      </c>
      <c r="E16" s="17">
        <f>(D16*B16*$B$5)/365</f>
        <v>5308.2191780821922</v>
      </c>
      <c r="F16" s="17">
        <f>C16+E16</f>
        <v>33085.99695585997</v>
      </c>
      <c r="G16">
        <f>A16-$B$10</f>
        <v>-19</v>
      </c>
      <c r="H16">
        <f t="shared" ref="H16:H17" si="0">IF(G16&gt;15, F16/(1+$B$7)^(G16/365), 0)</f>
        <v>0</v>
      </c>
    </row>
    <row r="17" spans="1:8" x14ac:dyDescent="0.3">
      <c r="A17" s="15">
        <v>45801</v>
      </c>
      <c r="B17" s="9">
        <f>A17-A16</f>
        <v>30</v>
      </c>
      <c r="C17" s="17">
        <f t="shared" ref="C17:C33" si="1">$B$3/COUNT($A$16:$A$33)</f>
        <v>27777.777777777777</v>
      </c>
      <c r="D17" s="17">
        <f t="shared" ref="D17:D33" si="2">D16-C17</f>
        <v>472222.22222222225</v>
      </c>
      <c r="E17" s="17">
        <f t="shared" ref="E17:E33" si="3">(D17*B17*$B$5)/365</f>
        <v>4851.5981735159821</v>
      </c>
      <c r="F17" s="17">
        <f t="shared" ref="F17:F33" si="4">C17+E17</f>
        <v>32629.375951293761</v>
      </c>
      <c r="G17">
        <f t="shared" ref="G17:G33" si="5">A17-$B$10</f>
        <v>11</v>
      </c>
      <c r="H17">
        <f t="shared" si="0"/>
        <v>0</v>
      </c>
    </row>
    <row r="18" spans="1:8" x14ac:dyDescent="0.3">
      <c r="A18" s="15">
        <v>45832</v>
      </c>
      <c r="B18" s="9">
        <f t="shared" ref="B18:B33" si="6">A18-A17</f>
        <v>31</v>
      </c>
      <c r="C18" s="17">
        <f t="shared" si="1"/>
        <v>27777.777777777777</v>
      </c>
      <c r="D18" s="17">
        <f t="shared" si="2"/>
        <v>444444.4444444445</v>
      </c>
      <c r="E18" s="17">
        <f t="shared" si="3"/>
        <v>4718.4170471841708</v>
      </c>
      <c r="F18" s="17">
        <f t="shared" si="4"/>
        <v>32496.194824961949</v>
      </c>
      <c r="G18">
        <f t="shared" si="5"/>
        <v>42</v>
      </c>
      <c r="H18">
        <f>IF(G18&gt;15, F18/(1+$B$7)^(G18/365), 0)</f>
        <v>32108.296364445909</v>
      </c>
    </row>
    <row r="19" spans="1:8" x14ac:dyDescent="0.3">
      <c r="A19" s="15">
        <v>45862</v>
      </c>
      <c r="B19" s="9">
        <f t="shared" si="6"/>
        <v>30</v>
      </c>
      <c r="C19" s="17">
        <f t="shared" si="1"/>
        <v>27777.777777777777</v>
      </c>
      <c r="D19" s="17">
        <f t="shared" si="2"/>
        <v>416666.66666666674</v>
      </c>
      <c r="E19" s="17">
        <f t="shared" si="3"/>
        <v>4280.82191780822</v>
      </c>
      <c r="F19" s="17">
        <f t="shared" si="4"/>
        <v>32058.599695585996</v>
      </c>
      <c r="G19">
        <f t="shared" si="5"/>
        <v>72</v>
      </c>
      <c r="H19">
        <f t="shared" ref="H19:H33" si="7">IF(G19&gt;15, F19/(1+$B$7)^(G19/365), 0)</f>
        <v>31405.385262858843</v>
      </c>
    </row>
    <row r="20" spans="1:8" x14ac:dyDescent="0.3">
      <c r="A20" s="15">
        <v>45893</v>
      </c>
      <c r="B20" s="9">
        <f t="shared" si="6"/>
        <v>31</v>
      </c>
      <c r="C20" s="17">
        <f t="shared" si="1"/>
        <v>27777.777777777777</v>
      </c>
      <c r="D20" s="17">
        <f t="shared" si="2"/>
        <v>388888.88888888899</v>
      </c>
      <c r="E20" s="17">
        <f t="shared" si="3"/>
        <v>4128.6149162861502</v>
      </c>
      <c r="F20" s="17">
        <f t="shared" si="4"/>
        <v>31906.392694063929</v>
      </c>
      <c r="G20">
        <f t="shared" si="5"/>
        <v>103</v>
      </c>
      <c r="H20">
        <f t="shared" si="7"/>
        <v>30980.465139912671</v>
      </c>
    </row>
    <row r="21" spans="1:8" x14ac:dyDescent="0.3">
      <c r="A21" s="15">
        <v>45924</v>
      </c>
      <c r="B21" s="9">
        <f t="shared" si="6"/>
        <v>31</v>
      </c>
      <c r="C21" s="17">
        <f t="shared" si="1"/>
        <v>27777.777777777777</v>
      </c>
      <c r="D21" s="17">
        <f t="shared" si="2"/>
        <v>361111.11111111124</v>
      </c>
      <c r="E21" s="17">
        <f t="shared" si="3"/>
        <v>3833.7138508371395</v>
      </c>
      <c r="F21" s="17">
        <f t="shared" si="4"/>
        <v>31611.491628614916</v>
      </c>
      <c r="G21">
        <f t="shared" si="5"/>
        <v>134</v>
      </c>
      <c r="H21">
        <f t="shared" si="7"/>
        <v>30423.268344001775</v>
      </c>
    </row>
    <row r="22" spans="1:8" x14ac:dyDescent="0.3">
      <c r="A22" s="15">
        <v>45954</v>
      </c>
      <c r="B22" s="9">
        <f t="shared" si="6"/>
        <v>30</v>
      </c>
      <c r="C22" s="17">
        <f t="shared" si="1"/>
        <v>27777.777777777777</v>
      </c>
      <c r="D22" s="17">
        <f t="shared" si="2"/>
        <v>333333.33333333349</v>
      </c>
      <c r="E22" s="17">
        <f t="shared" si="3"/>
        <v>3424.6575342465767</v>
      </c>
      <c r="F22" s="17">
        <f t="shared" si="4"/>
        <v>31202.435312024354</v>
      </c>
      <c r="G22">
        <f t="shared" si="5"/>
        <v>164</v>
      </c>
      <c r="H22">
        <f t="shared" si="7"/>
        <v>29773.109465643745</v>
      </c>
    </row>
    <row r="23" spans="1:8" x14ac:dyDescent="0.3">
      <c r="A23" s="15">
        <v>45985</v>
      </c>
      <c r="B23" s="9">
        <f t="shared" si="6"/>
        <v>31</v>
      </c>
      <c r="C23" s="17">
        <f t="shared" si="1"/>
        <v>27777.777777777777</v>
      </c>
      <c r="D23" s="17">
        <f t="shared" si="2"/>
        <v>305555.55555555574</v>
      </c>
      <c r="E23" s="17">
        <f t="shared" si="3"/>
        <v>3243.9117199391189</v>
      </c>
      <c r="F23" s="17">
        <f t="shared" si="4"/>
        <v>31021.689497716896</v>
      </c>
      <c r="G23">
        <f t="shared" si="5"/>
        <v>195</v>
      </c>
      <c r="H23">
        <f t="shared" si="7"/>
        <v>29339.438659243478</v>
      </c>
    </row>
    <row r="24" spans="1:8" x14ac:dyDescent="0.3">
      <c r="A24" s="15">
        <v>46015</v>
      </c>
      <c r="B24" s="9">
        <f t="shared" si="6"/>
        <v>30</v>
      </c>
      <c r="C24" s="17">
        <f t="shared" si="1"/>
        <v>27777.777777777777</v>
      </c>
      <c r="D24" s="17">
        <f t="shared" si="2"/>
        <v>277777.77777777798</v>
      </c>
      <c r="E24" s="17">
        <f t="shared" si="3"/>
        <v>2853.881278538815</v>
      </c>
      <c r="F24" s="17">
        <f t="shared" si="4"/>
        <v>30631.659056316592</v>
      </c>
      <c r="G24">
        <f t="shared" si="5"/>
        <v>225</v>
      </c>
      <c r="H24">
        <f t="shared" si="7"/>
        <v>28723.125575997878</v>
      </c>
    </row>
    <row r="25" spans="1:8" x14ac:dyDescent="0.3">
      <c r="A25" s="15">
        <v>46046</v>
      </c>
      <c r="B25" s="9">
        <f t="shared" si="6"/>
        <v>31</v>
      </c>
      <c r="C25" s="17">
        <f t="shared" si="1"/>
        <v>27777.777777777777</v>
      </c>
      <c r="D25" s="17">
        <f t="shared" si="2"/>
        <v>250000.0000000002</v>
      </c>
      <c r="E25" s="17">
        <f t="shared" si="3"/>
        <v>2654.1095890410979</v>
      </c>
      <c r="F25" s="17">
        <f t="shared" si="4"/>
        <v>30431.887366818875</v>
      </c>
      <c r="G25">
        <f t="shared" si="5"/>
        <v>256</v>
      </c>
      <c r="H25">
        <f t="shared" si="7"/>
        <v>28283.992697613827</v>
      </c>
    </row>
    <row r="26" spans="1:8" x14ac:dyDescent="0.3">
      <c r="A26" s="15">
        <v>46077</v>
      </c>
      <c r="B26" s="9">
        <f t="shared" si="6"/>
        <v>31</v>
      </c>
      <c r="C26" s="17">
        <f t="shared" si="1"/>
        <v>27777.777777777777</v>
      </c>
      <c r="D26" s="17">
        <f t="shared" si="2"/>
        <v>222222.22222222242</v>
      </c>
      <c r="E26" s="17">
        <f t="shared" si="3"/>
        <v>2359.2085235920877</v>
      </c>
      <c r="F26" s="17">
        <f t="shared" si="4"/>
        <v>30136.986301369863</v>
      </c>
      <c r="G26">
        <f t="shared" si="5"/>
        <v>287</v>
      </c>
      <c r="H26">
        <f t="shared" si="7"/>
        <v>27762.738368990256</v>
      </c>
    </row>
    <row r="27" spans="1:8" x14ac:dyDescent="0.3">
      <c r="A27" s="15">
        <v>46105</v>
      </c>
      <c r="B27" s="9">
        <f t="shared" si="6"/>
        <v>28</v>
      </c>
      <c r="C27" s="17">
        <f t="shared" si="1"/>
        <v>27777.777777777777</v>
      </c>
      <c r="D27" s="17">
        <f t="shared" si="2"/>
        <v>194444.44444444464</v>
      </c>
      <c r="E27" s="17">
        <f t="shared" si="3"/>
        <v>1864.5357686453594</v>
      </c>
      <c r="F27" s="17">
        <f t="shared" si="4"/>
        <v>29642.313546423138</v>
      </c>
      <c r="G27">
        <f t="shared" si="5"/>
        <v>315</v>
      </c>
      <c r="H27">
        <f t="shared" si="7"/>
        <v>27089.297655973729</v>
      </c>
    </row>
    <row r="28" spans="1:8" x14ac:dyDescent="0.3">
      <c r="A28" s="15">
        <v>46136</v>
      </c>
      <c r="B28" s="9">
        <f t="shared" si="6"/>
        <v>31</v>
      </c>
      <c r="C28" s="17">
        <f t="shared" si="1"/>
        <v>27777.777777777777</v>
      </c>
      <c r="D28" s="17">
        <f t="shared" si="2"/>
        <v>166666.66666666686</v>
      </c>
      <c r="E28" s="17">
        <f t="shared" si="3"/>
        <v>1769.406392694066</v>
      </c>
      <c r="F28" s="17">
        <f t="shared" si="4"/>
        <v>29547.184170471843</v>
      </c>
      <c r="G28">
        <f t="shared" si="5"/>
        <v>346</v>
      </c>
      <c r="H28">
        <f t="shared" si="7"/>
        <v>26764.084892367977</v>
      </c>
    </row>
    <row r="29" spans="1:8" x14ac:dyDescent="0.3">
      <c r="A29" s="15">
        <v>46166</v>
      </c>
      <c r="B29" s="9">
        <f t="shared" si="6"/>
        <v>30</v>
      </c>
      <c r="C29" s="17">
        <f t="shared" si="1"/>
        <v>27777.777777777777</v>
      </c>
      <c r="D29" s="17">
        <f t="shared" si="2"/>
        <v>138888.88888888908</v>
      </c>
      <c r="E29" s="17">
        <f t="shared" si="3"/>
        <v>1426.9406392694084</v>
      </c>
      <c r="F29" s="17">
        <f t="shared" si="4"/>
        <v>29204.718417047185</v>
      </c>
      <c r="G29">
        <f t="shared" si="5"/>
        <v>376</v>
      </c>
      <c r="H29">
        <f t="shared" si="7"/>
        <v>26227.937886060765</v>
      </c>
    </row>
    <row r="30" spans="1:8" x14ac:dyDescent="0.3">
      <c r="A30" s="15">
        <v>46197</v>
      </c>
      <c r="B30" s="9">
        <f t="shared" si="6"/>
        <v>31</v>
      </c>
      <c r="C30" s="17">
        <f t="shared" si="1"/>
        <v>27777.777777777777</v>
      </c>
      <c r="D30" s="17">
        <f t="shared" si="2"/>
        <v>111111.1111111113</v>
      </c>
      <c r="E30" s="17">
        <f t="shared" si="3"/>
        <v>1179.6042617960445</v>
      </c>
      <c r="F30" s="17">
        <f t="shared" si="4"/>
        <v>28957.382039573822</v>
      </c>
      <c r="G30">
        <f t="shared" si="5"/>
        <v>407</v>
      </c>
      <c r="H30">
        <f t="shared" si="7"/>
        <v>25776.329233225028</v>
      </c>
    </row>
    <row r="31" spans="1:8" x14ac:dyDescent="0.3">
      <c r="A31" s="15">
        <v>46227</v>
      </c>
      <c r="B31" s="9">
        <f t="shared" si="6"/>
        <v>30</v>
      </c>
      <c r="C31" s="17">
        <f t="shared" si="1"/>
        <v>27777.777777777777</v>
      </c>
      <c r="D31" s="17">
        <f t="shared" si="2"/>
        <v>83333.333333333518</v>
      </c>
      <c r="E31" s="17">
        <f t="shared" si="3"/>
        <v>856.16438356164576</v>
      </c>
      <c r="F31" s="17">
        <f t="shared" si="4"/>
        <v>28633.942161339422</v>
      </c>
      <c r="G31">
        <f t="shared" si="5"/>
        <v>437</v>
      </c>
      <c r="H31">
        <f t="shared" si="7"/>
        <v>25270.727308045316</v>
      </c>
    </row>
    <row r="32" spans="1:8" x14ac:dyDescent="0.3">
      <c r="A32" s="15">
        <v>46258</v>
      </c>
      <c r="B32" s="9">
        <f t="shared" si="6"/>
        <v>31</v>
      </c>
      <c r="C32" s="17">
        <f t="shared" si="1"/>
        <v>27777.777777777777</v>
      </c>
      <c r="D32" s="17">
        <f t="shared" si="2"/>
        <v>55555.555555555737</v>
      </c>
      <c r="E32" s="17">
        <f t="shared" si="3"/>
        <v>589.80213089802328</v>
      </c>
      <c r="F32" s="17">
        <f t="shared" si="4"/>
        <v>28367.579908675802</v>
      </c>
      <c r="G32">
        <f t="shared" si="5"/>
        <v>468</v>
      </c>
      <c r="H32">
        <f t="shared" si="7"/>
        <v>24814.728963458874</v>
      </c>
    </row>
    <row r="33" spans="1:8" x14ac:dyDescent="0.3">
      <c r="A33" s="15">
        <v>46289</v>
      </c>
      <c r="B33" s="9">
        <f t="shared" si="6"/>
        <v>31</v>
      </c>
      <c r="C33" s="17">
        <f t="shared" si="1"/>
        <v>27777.777777777777</v>
      </c>
      <c r="D33" s="17">
        <f t="shared" si="2"/>
        <v>27777.777777777959</v>
      </c>
      <c r="E33" s="17">
        <f t="shared" si="3"/>
        <v>294.90106544901255</v>
      </c>
      <c r="F33" s="17">
        <f t="shared" si="4"/>
        <v>28072.678843226789</v>
      </c>
      <c r="G33">
        <f t="shared" si="5"/>
        <v>499</v>
      </c>
      <c r="H33">
        <f t="shared" si="7"/>
        <v>24340.066336223164</v>
      </c>
    </row>
    <row r="34" spans="1:8" x14ac:dyDescent="0.3">
      <c r="A34" s="9" t="s">
        <v>31</v>
      </c>
      <c r="C34" s="17">
        <f>SUM(C15:C33)</f>
        <v>499999.99999999977</v>
      </c>
      <c r="E34" s="17">
        <f>SUM(E15:E33)</f>
        <v>49638.508371385113</v>
      </c>
      <c r="F34" s="17">
        <f>SUM(F15:F33)</f>
        <v>549638.50837138516</v>
      </c>
      <c r="H34">
        <f>SUM(H16:H33)</f>
        <v>449082.99215406325</v>
      </c>
    </row>
  </sheetData>
  <mergeCells count="2">
    <mergeCell ref="A13:F13"/>
    <mergeCell ref="G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Bond Basic Info</vt:lpstr>
      <vt:lpstr>Cashflow per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 Bisani</dc:creator>
  <cp:lastModifiedBy>Punit Bisani</cp:lastModifiedBy>
  <dcterms:created xsi:type="dcterms:W3CDTF">2026-01-20T13:59:58Z</dcterms:created>
  <dcterms:modified xsi:type="dcterms:W3CDTF">2026-01-20T14:55:50Z</dcterms:modified>
</cp:coreProperties>
</file>