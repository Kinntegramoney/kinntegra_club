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alculator" sheetId="1" state="visible" r:id="rId1"/>
    <sheet name="Cashflow Details" sheetId="2" state="visible" r:id="rId2"/>
    <sheet name="Formula Reference" sheetId="3" state="visible" r:id="rId3"/>
    <sheet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1F4E79"/>
      <sz val="12"/>
    </font>
    <font>
      <b val="1"/>
    </font>
    <font>
      <b val="1"/>
      <color rgb="00C00000"/>
      <sz val="12"/>
    </font>
    <font>
      <b val="1"/>
      <color rgb="00FFFFFF"/>
      <sz val="11"/>
    </font>
    <font>
      <b val="1"/>
      <color rgb="009C0006"/>
    </font>
    <font>
      <b val="1"/>
      <color rgb="00006100"/>
    </font>
    <font>
      <b val="1"/>
      <sz val="12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wrapText="1"/>
    </xf>
    <xf numFmtId="0" fontId="0" fillId="0" borderId="1" pivotButton="0" quotePrefix="0" xfId="0"/>
    <xf numFmtId="0" fontId="7" fillId="5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SECONDARY MARKET BOND PRICE CALCULATOR</t>
        </is>
      </c>
    </row>
    <row r="2">
      <c r="A2" s="2" t="inlineStr">
        <is>
          <t>With Correct Record Date / Cutoff Days Logic</t>
        </is>
      </c>
    </row>
    <row r="4">
      <c r="A4" s="3" t="inlineStr">
        <is>
          <t>INPUT PARAMETERS</t>
        </is>
      </c>
    </row>
    <row r="5">
      <c r="A5" s="4" t="inlineStr">
        <is>
          <t>Bond Code:</t>
        </is>
      </c>
      <c r="B5" s="5" t="inlineStr">
        <is>
          <t>CDHBP003</t>
        </is>
      </c>
    </row>
    <row r="6">
      <c r="A6" s="4" t="inlineStr">
        <is>
          <t>Bond Name:</t>
        </is>
      </c>
      <c r="B6" s="5" t="inlineStr">
        <is>
          <t>All Home Bharat Platform</t>
        </is>
      </c>
    </row>
    <row r="7">
      <c r="A7" s="4" t="inlineStr">
        <is>
          <t>Face Value per Unit (₹):</t>
        </is>
      </c>
      <c r="B7" s="5" t="n">
        <v>100000</v>
      </c>
    </row>
    <row r="8">
      <c r="A8" s="4" t="inlineStr">
        <is>
          <t>Coupon Rate (%):</t>
        </is>
      </c>
      <c r="B8" s="5" t="n">
        <v>14</v>
      </c>
    </row>
    <row r="9">
      <c r="A9" s="4" t="inlineStr">
        <is>
          <t>Secondary IRR (%):</t>
        </is>
      </c>
      <c r="B9" s="5" t="n">
        <v>11.5</v>
      </c>
    </row>
    <row r="10">
      <c r="A10" s="4" t="inlineStr">
        <is>
          <t>Cutoff Days (Record Date):</t>
        </is>
      </c>
      <c r="B10" s="5" t="n">
        <v>15</v>
      </c>
    </row>
    <row r="11">
      <c r="A11" s="4" t="inlineStr">
        <is>
          <t>Settlement Date:</t>
        </is>
      </c>
      <c r="B11" s="5" t="inlineStr">
        <is>
          <t>2026-01-26</t>
        </is>
      </c>
    </row>
    <row r="13">
      <c r="A13" s="3" t="inlineStr">
        <is>
          <t>CALCULATION RESULTS</t>
        </is>
      </c>
    </row>
    <row r="14">
      <c r="A14" s="4" t="inlineStr">
        <is>
          <t>Total Cashflows in Bond:</t>
        </is>
      </c>
      <c r="B14" s="6" t="n">
        <v>18</v>
      </c>
    </row>
    <row r="15">
      <c r="A15" s="4" t="inlineStr">
        <is>
          <t>Missed Cashflows (Record Date Passed):</t>
        </is>
      </c>
      <c r="B15" s="6" t="n">
        <v>1</v>
      </c>
    </row>
    <row r="16">
      <c r="A16" s="4" t="inlineStr">
        <is>
          <t>Remaining Cashflows:</t>
        </is>
      </c>
      <c r="B16" s="6" t="n">
        <v>17</v>
      </c>
    </row>
    <row r="17">
      <c r="A17" s="4" t="inlineStr">
        <is>
          <t>Clean Price per Unit (₹):</t>
        </is>
      </c>
      <c r="B17" s="6" t="n">
        <v>103540.25</v>
      </c>
    </row>
    <row r="18">
      <c r="A18" s="4" t="inlineStr">
        <is>
          <t>Premium/Discount (%):</t>
        </is>
      </c>
      <c r="B18" s="6" t="n">
        <v>3.54</v>
      </c>
    </row>
    <row r="20">
      <c r="A20" s="7" t="inlineStr">
        <is>
          <t>RECORD DATE LOGIC (IMPORTANT)</t>
        </is>
      </c>
    </row>
    <row r="21">
      <c r="A21" t="inlineStr">
        <is>
          <t>• Record Date = Payment Date - Cutoff Days</t>
        </is>
      </c>
    </row>
    <row r="22">
      <c r="A22" s="4" t="inlineStr">
        <is>
          <t>• If Settlement Date &gt; Record Date → Payment is MISSED (goes to seller)</t>
        </is>
      </c>
    </row>
    <row r="23">
      <c r="A23" s="4" t="inlineStr">
        <is>
          <t>• If Settlement Date ≤ Record Date → Payment is RECEIVED (goes to buyer)</t>
        </is>
      </c>
    </row>
    <row r="24">
      <c r="A24" t="inlineStr"/>
    </row>
    <row r="25">
      <c r="A25" t="inlineStr">
        <is>
          <t>Example for January 30, 2026 payment:</t>
        </is>
      </c>
    </row>
    <row r="26">
      <c r="A26" t="inlineStr">
        <is>
          <t xml:space="preserve">  - Payment Date: 2026-01-30</t>
        </is>
      </c>
    </row>
    <row r="27">
      <c r="A27" t="inlineStr">
        <is>
          <t xml:space="preserve">  - Record Date: 2026-01-30 - 15 = 2026-01-15</t>
        </is>
      </c>
    </row>
    <row r="28">
      <c r="A28" t="inlineStr">
        <is>
          <t xml:space="preserve">  - Settlement Date: 2026-01-26</t>
        </is>
      </c>
    </row>
    <row r="29">
      <c r="A29" s="4" t="inlineStr">
        <is>
          <t xml:space="preserve">  - Since 2026-01-26 &gt; 2026-01-15, this payment is MISSED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8" t="inlineStr">
        <is>
          <t>Payment Date</t>
        </is>
      </c>
      <c r="B1" s="8" t="inlineStr">
        <is>
          <t>Record Date</t>
        </is>
      </c>
      <c r="C1" s="8" t="inlineStr">
        <is>
          <t>Interest (₹)</t>
        </is>
      </c>
      <c r="D1" s="8" t="inlineStr">
        <is>
          <t>Principal (₹)</t>
        </is>
      </c>
      <c r="E1" s="8" t="inlineStr">
        <is>
          <t>Total (₹)</t>
        </is>
      </c>
      <c r="F1" s="8" t="inlineStr">
        <is>
          <t>Settlement Date</t>
        </is>
      </c>
      <c r="G1" s="8" t="inlineStr">
        <is>
          <t>Record Check</t>
        </is>
      </c>
      <c r="H1" s="8" t="inlineStr">
        <is>
          <t>Status</t>
        </is>
      </c>
      <c r="I1" s="8" t="inlineStr">
        <is>
          <t>Days to Payment</t>
        </is>
      </c>
      <c r="J1" s="8" t="inlineStr">
        <is>
          <t>Discount Factor</t>
        </is>
      </c>
      <c r="K1" s="8" t="inlineStr">
        <is>
          <t>Present Value (₹)</t>
        </is>
      </c>
    </row>
    <row r="2">
      <c r="A2" s="9" t="inlineStr">
        <is>
          <t>2026-01-30</t>
        </is>
      </c>
      <c r="B2" s="9" t="inlineStr">
        <is>
          <t>2026-01-15</t>
        </is>
      </c>
      <c r="C2" s="9" t="n">
        <v>1189.04</v>
      </c>
      <c r="D2" s="9" t="n">
        <v>0</v>
      </c>
      <c r="E2" s="9" t="n">
        <v>1189.04</v>
      </c>
      <c r="F2" s="9" t="inlineStr">
        <is>
          <t>2026-01-26</t>
        </is>
      </c>
      <c r="G2" s="9" t="inlineStr">
        <is>
          <t>2026-01-26 &gt; 2026-01-15</t>
        </is>
      </c>
      <c r="H2" s="10" t="inlineStr">
        <is>
          <t>MISSED</t>
        </is>
      </c>
      <c r="I2" s="9" t="inlineStr">
        <is>
          <t>-</t>
        </is>
      </c>
      <c r="J2" s="9" t="inlineStr">
        <is>
          <t>-</t>
        </is>
      </c>
      <c r="K2" s="9" t="inlineStr">
        <is>
          <t>-</t>
        </is>
      </c>
    </row>
    <row r="3">
      <c r="A3" s="9" t="inlineStr">
        <is>
          <t>2026-02-28</t>
        </is>
      </c>
      <c r="B3" s="9" t="inlineStr">
        <is>
          <t>2026-02-13</t>
        </is>
      </c>
      <c r="C3" s="9" t="n">
        <v>1112.33</v>
      </c>
      <c r="D3" s="9" t="n">
        <v>0</v>
      </c>
      <c r="E3" s="9" t="n">
        <v>1112.33</v>
      </c>
      <c r="F3" s="9" t="inlineStr">
        <is>
          <t>2026-01-26</t>
        </is>
      </c>
      <c r="G3" s="9" t="inlineStr">
        <is>
          <t>2026-01-26 &lt;= 2026-02-13</t>
        </is>
      </c>
      <c r="H3" s="11" t="inlineStr">
        <is>
          <t>RECEIVED</t>
        </is>
      </c>
      <c r="I3" s="9" t="n">
        <v>33</v>
      </c>
      <c r="J3" s="9" t="n">
        <v>0.9902069999999999</v>
      </c>
      <c r="K3" s="6" t="n">
        <v>1101.44</v>
      </c>
    </row>
    <row r="4">
      <c r="A4" s="9" t="inlineStr">
        <is>
          <t>2026-03-30</t>
        </is>
      </c>
      <c r="B4" s="9" t="inlineStr">
        <is>
          <t>2026-03-15</t>
        </is>
      </c>
      <c r="C4" s="9" t="n">
        <v>1150.68</v>
      </c>
      <c r="D4" s="9" t="n">
        <v>0</v>
      </c>
      <c r="E4" s="9" t="n">
        <v>1150.68</v>
      </c>
      <c r="F4" s="9" t="inlineStr">
        <is>
          <t>2026-01-26</t>
        </is>
      </c>
      <c r="G4" s="9" t="inlineStr">
        <is>
          <t>2026-01-26 &lt;= 2026-03-15</t>
        </is>
      </c>
      <c r="H4" s="11" t="inlineStr">
        <is>
          <t>RECEIVED</t>
        </is>
      </c>
      <c r="I4" s="9" t="n">
        <v>63</v>
      </c>
      <c r="J4" s="9" t="n">
        <v>0.981387</v>
      </c>
      <c r="K4" s="6" t="n">
        <v>1129.26</v>
      </c>
    </row>
    <row r="5">
      <c r="A5" s="9" t="inlineStr">
        <is>
          <t>2026-04-30</t>
        </is>
      </c>
      <c r="B5" s="9" t="inlineStr">
        <is>
          <t>2026-04-15</t>
        </is>
      </c>
      <c r="C5" s="9" t="n">
        <v>1189.04</v>
      </c>
      <c r="D5" s="9" t="n">
        <v>0</v>
      </c>
      <c r="E5" s="9" t="n">
        <v>1189.04</v>
      </c>
      <c r="F5" s="9" t="inlineStr">
        <is>
          <t>2026-01-26</t>
        </is>
      </c>
      <c r="G5" s="9" t="inlineStr">
        <is>
          <t>2026-01-26 &lt;= 2026-04-15</t>
        </is>
      </c>
      <c r="H5" s="11" t="inlineStr">
        <is>
          <t>RECEIVED</t>
        </is>
      </c>
      <c r="I5" s="9" t="n">
        <v>94</v>
      </c>
      <c r="J5" s="9" t="n">
        <v>0.972356</v>
      </c>
      <c r="K5" s="6" t="n">
        <v>1156.17</v>
      </c>
    </row>
    <row r="6">
      <c r="A6" s="9" t="inlineStr">
        <is>
          <t>2026-05-30</t>
        </is>
      </c>
      <c r="B6" s="9" t="inlineStr">
        <is>
          <t>2026-05-15</t>
        </is>
      </c>
      <c r="C6" s="9" t="n">
        <v>1150.68</v>
      </c>
      <c r="D6" s="9" t="n">
        <v>0</v>
      </c>
      <c r="E6" s="9" t="n">
        <v>1150.68</v>
      </c>
      <c r="F6" s="9" t="inlineStr">
        <is>
          <t>2026-01-26</t>
        </is>
      </c>
      <c r="G6" s="9" t="inlineStr">
        <is>
          <t>2026-01-26 &lt;= 2026-05-15</t>
        </is>
      </c>
      <c r="H6" s="11" t="inlineStr">
        <is>
          <t>RECEIVED</t>
        </is>
      </c>
      <c r="I6" s="9" t="n">
        <v>124</v>
      </c>
      <c r="J6" s="9" t="n">
        <v>0.963695</v>
      </c>
      <c r="K6" s="6" t="n">
        <v>1108.9</v>
      </c>
    </row>
    <row r="7">
      <c r="A7" s="9" t="inlineStr">
        <is>
          <t>2026-06-30</t>
        </is>
      </c>
      <c r="B7" s="9" t="inlineStr">
        <is>
          <t>2026-06-15</t>
        </is>
      </c>
      <c r="C7" s="9" t="n">
        <v>1189.04</v>
      </c>
      <c r="D7" s="9" t="n">
        <v>0</v>
      </c>
      <c r="E7" s="9" t="n">
        <v>1189.04</v>
      </c>
      <c r="F7" s="9" t="inlineStr">
        <is>
          <t>2026-01-26</t>
        </is>
      </c>
      <c r="G7" s="9" t="inlineStr">
        <is>
          <t>2026-01-26 &lt;= 2026-06-15</t>
        </is>
      </c>
      <c r="H7" s="11" t="inlineStr">
        <is>
          <t>RECEIVED</t>
        </is>
      </c>
      <c r="I7" s="9" t="n">
        <v>155</v>
      </c>
      <c r="J7" s="9" t="n">
        <v>0.954826</v>
      </c>
      <c r="K7" s="6" t="n">
        <v>1135.33</v>
      </c>
    </row>
    <row r="8">
      <c r="A8" s="9" t="inlineStr">
        <is>
          <t>2026-07-30</t>
        </is>
      </c>
      <c r="B8" s="9" t="inlineStr">
        <is>
          <t>2026-07-15</t>
        </is>
      </c>
      <c r="C8" s="9" t="n">
        <v>1150.68</v>
      </c>
      <c r="D8" s="9" t="n">
        <v>0</v>
      </c>
      <c r="E8" s="9" t="n">
        <v>1150.68</v>
      </c>
      <c r="F8" s="9" t="inlineStr">
        <is>
          <t>2026-01-26</t>
        </is>
      </c>
      <c r="G8" s="9" t="inlineStr">
        <is>
          <t>2026-01-26 &lt;= 2026-07-15</t>
        </is>
      </c>
      <c r="H8" s="11" t="inlineStr">
        <is>
          <t>RECEIVED</t>
        </is>
      </c>
      <c r="I8" s="9" t="n">
        <v>185</v>
      </c>
      <c r="J8" s="9" t="n">
        <v>0.946322</v>
      </c>
      <c r="K8" s="6" t="n">
        <v>1088.91</v>
      </c>
    </row>
    <row r="9">
      <c r="A9" s="9" t="inlineStr">
        <is>
          <t>2026-08-30</t>
        </is>
      </c>
      <c r="B9" s="9" t="inlineStr">
        <is>
          <t>2026-08-15</t>
        </is>
      </c>
      <c r="C9" s="9" t="n">
        <v>1189.04</v>
      </c>
      <c r="D9" s="9" t="n">
        <v>0</v>
      </c>
      <c r="E9" s="9" t="n">
        <v>1189.04</v>
      </c>
      <c r="F9" s="9" t="inlineStr">
        <is>
          <t>2026-01-26</t>
        </is>
      </c>
      <c r="G9" s="9" t="inlineStr">
        <is>
          <t>2026-01-26 &lt;= 2026-08-15</t>
        </is>
      </c>
      <c r="H9" s="11" t="inlineStr">
        <is>
          <t>RECEIVED</t>
        </is>
      </c>
      <c r="I9" s="9" t="n">
        <v>216</v>
      </c>
      <c r="J9" s="9" t="n">
        <v>0.937613</v>
      </c>
      <c r="K9" s="6" t="n">
        <v>1114.86</v>
      </c>
    </row>
    <row r="10">
      <c r="A10" s="9" t="inlineStr">
        <is>
          <t>2026-09-30</t>
        </is>
      </c>
      <c r="B10" s="9" t="inlineStr">
        <is>
          <t>2026-09-15</t>
        </is>
      </c>
      <c r="C10" s="9" t="n">
        <v>1189.04</v>
      </c>
      <c r="D10" s="9" t="n">
        <v>0</v>
      </c>
      <c r="E10" s="9" t="n">
        <v>1189.04</v>
      </c>
      <c r="F10" s="9" t="inlineStr">
        <is>
          <t>2026-01-26</t>
        </is>
      </c>
      <c r="G10" s="9" t="inlineStr">
        <is>
          <t>2026-01-26 &lt;= 2026-09-15</t>
        </is>
      </c>
      <c r="H10" s="11" t="inlineStr">
        <is>
          <t>RECEIVED</t>
        </is>
      </c>
      <c r="I10" s="9" t="n">
        <v>247</v>
      </c>
      <c r="J10" s="9" t="n">
        <v>0.9289849999999999</v>
      </c>
      <c r="K10" s="6" t="n">
        <v>1104.6</v>
      </c>
    </row>
    <row r="11">
      <c r="A11" s="9" t="inlineStr">
        <is>
          <t>2026-10-30</t>
        </is>
      </c>
      <c r="B11" s="9" t="inlineStr">
        <is>
          <t>2026-10-15</t>
        </is>
      </c>
      <c r="C11" s="9" t="n">
        <v>1150.68</v>
      </c>
      <c r="D11" s="9" t="n">
        <v>0</v>
      </c>
      <c r="E11" s="9" t="n">
        <v>1150.68</v>
      </c>
      <c r="F11" s="9" t="inlineStr">
        <is>
          <t>2026-01-26</t>
        </is>
      </c>
      <c r="G11" s="9" t="inlineStr">
        <is>
          <t>2026-01-26 &lt;= 2026-10-15</t>
        </is>
      </c>
      <c r="H11" s="11" t="inlineStr">
        <is>
          <t>RECEIVED</t>
        </is>
      </c>
      <c r="I11" s="9" t="n">
        <v>277</v>
      </c>
      <c r="J11" s="9" t="n">
        <v>0.92071</v>
      </c>
      <c r="K11" s="6" t="n">
        <v>1059.44</v>
      </c>
    </row>
    <row r="12">
      <c r="A12" s="9" t="inlineStr">
        <is>
          <t>2026-11-30</t>
        </is>
      </c>
      <c r="B12" s="9" t="inlineStr">
        <is>
          <t>2026-11-15</t>
        </is>
      </c>
      <c r="C12" s="9" t="n">
        <v>1189.04</v>
      </c>
      <c r="D12" s="9" t="n">
        <v>0</v>
      </c>
      <c r="E12" s="9" t="n">
        <v>1189.04</v>
      </c>
      <c r="F12" s="9" t="inlineStr">
        <is>
          <t>2026-01-26</t>
        </is>
      </c>
      <c r="G12" s="9" t="inlineStr">
        <is>
          <t>2026-01-26 &lt;= 2026-11-15</t>
        </is>
      </c>
      <c r="H12" s="11" t="inlineStr">
        <is>
          <t>RECEIVED</t>
        </is>
      </c>
      <c r="I12" s="9" t="n">
        <v>308</v>
      </c>
      <c r="J12" s="9" t="n">
        <v>0.912237</v>
      </c>
      <c r="K12" s="6" t="n">
        <v>1084.69</v>
      </c>
    </row>
    <row r="13">
      <c r="A13" s="9" t="inlineStr">
        <is>
          <t>2026-12-30</t>
        </is>
      </c>
      <c r="B13" s="9" t="inlineStr">
        <is>
          <t>2026-12-15</t>
        </is>
      </c>
      <c r="C13" s="9" t="n">
        <v>1150.68</v>
      </c>
      <c r="D13" s="9" t="n">
        <v>0</v>
      </c>
      <c r="E13" s="9" t="n">
        <v>1150.68</v>
      </c>
      <c r="F13" s="9" t="inlineStr">
        <is>
          <t>2026-01-26</t>
        </is>
      </c>
      <c r="G13" s="9" t="inlineStr">
        <is>
          <t>2026-01-26 &lt;= 2026-12-15</t>
        </is>
      </c>
      <c r="H13" s="11" t="inlineStr">
        <is>
          <t>RECEIVED</t>
        </is>
      </c>
      <c r="I13" s="9" t="n">
        <v>338</v>
      </c>
      <c r="J13" s="9" t="n">
        <v>0.904112</v>
      </c>
      <c r="K13" s="6" t="n">
        <v>1040.34</v>
      </c>
    </row>
    <row r="14">
      <c r="A14" s="9" t="inlineStr">
        <is>
          <t>2027-01-30</t>
        </is>
      </c>
      <c r="B14" s="9" t="inlineStr">
        <is>
          <t>2027-01-15</t>
        </is>
      </c>
      <c r="C14" s="9" t="n">
        <v>1189.04</v>
      </c>
      <c r="D14" s="9" t="n">
        <v>0</v>
      </c>
      <c r="E14" s="9" t="n">
        <v>1189.04</v>
      </c>
      <c r="F14" s="9" t="inlineStr">
        <is>
          <t>2026-01-26</t>
        </is>
      </c>
      <c r="G14" s="9" t="inlineStr">
        <is>
          <t>2026-01-26 &lt;= 2027-01-15</t>
        </is>
      </c>
      <c r="H14" s="11" t="inlineStr">
        <is>
          <t>RECEIVED</t>
        </is>
      </c>
      <c r="I14" s="9" t="n">
        <v>369</v>
      </c>
      <c r="J14" s="9" t="n">
        <v>0.895792</v>
      </c>
      <c r="K14" s="6" t="n">
        <v>1065.13</v>
      </c>
    </row>
    <row r="15">
      <c r="A15" s="9" t="inlineStr">
        <is>
          <t>2027-02-28</t>
        </is>
      </c>
      <c r="B15" s="9" t="inlineStr">
        <is>
          <t>2027-02-13</t>
        </is>
      </c>
      <c r="C15" s="9" t="n">
        <v>1112.33</v>
      </c>
      <c r="D15" s="9" t="n">
        <v>0</v>
      </c>
      <c r="E15" s="9" t="n">
        <v>1112.33</v>
      </c>
      <c r="F15" s="9" t="inlineStr">
        <is>
          <t>2026-01-26</t>
        </is>
      </c>
      <c r="G15" s="9" t="inlineStr">
        <is>
          <t>2026-01-26 &lt;= 2027-02-13</t>
        </is>
      </c>
      <c r="H15" s="11" t="inlineStr">
        <is>
          <t>RECEIVED</t>
        </is>
      </c>
      <c r="I15" s="9" t="n">
        <v>398</v>
      </c>
      <c r="J15" s="9" t="n">
        <v>0.888078</v>
      </c>
      <c r="K15" s="6" t="n">
        <v>987.84</v>
      </c>
    </row>
    <row r="16">
      <c r="A16" s="9" t="inlineStr">
        <is>
          <t>2027-03-30</t>
        </is>
      </c>
      <c r="B16" s="9" t="inlineStr">
        <is>
          <t>2027-03-15</t>
        </is>
      </c>
      <c r="C16" s="9" t="n">
        <v>1150.68</v>
      </c>
      <c r="D16" s="9" t="n">
        <v>50000</v>
      </c>
      <c r="E16" s="9" t="n">
        <v>51150.68</v>
      </c>
      <c r="F16" s="9" t="inlineStr">
        <is>
          <t>2026-01-26</t>
        </is>
      </c>
      <c r="G16" s="9" t="inlineStr">
        <is>
          <t>2026-01-26 &lt;= 2027-03-15</t>
        </is>
      </c>
      <c r="H16" s="11" t="inlineStr">
        <is>
          <t>RECEIVED</t>
        </is>
      </c>
      <c r="I16" s="9" t="n">
        <v>428</v>
      </c>
      <c r="J16" s="9" t="n">
        <v>0.880168</v>
      </c>
      <c r="K16" s="6" t="n">
        <v>45021.17</v>
      </c>
    </row>
    <row r="17">
      <c r="A17" s="9" t="inlineStr">
        <is>
          <t>2027-04-30</t>
        </is>
      </c>
      <c r="B17" s="9" t="inlineStr">
        <is>
          <t>2027-04-15</t>
        </is>
      </c>
      <c r="C17" s="9" t="n">
        <v>594.52</v>
      </c>
      <c r="D17" s="9" t="n">
        <v>0</v>
      </c>
      <c r="E17" s="9" t="n">
        <v>594.52</v>
      </c>
      <c r="F17" s="9" t="inlineStr">
        <is>
          <t>2026-01-26</t>
        </is>
      </c>
      <c r="G17" s="9" t="inlineStr">
        <is>
          <t>2026-01-26 &lt;= 2027-04-15</t>
        </is>
      </c>
      <c r="H17" s="11" t="inlineStr">
        <is>
          <t>RECEIVED</t>
        </is>
      </c>
      <c r="I17" s="9" t="n">
        <v>459</v>
      </c>
      <c r="J17" s="9" t="n">
        <v>0.872068</v>
      </c>
      <c r="K17" s="6" t="n">
        <v>518.46</v>
      </c>
    </row>
    <row r="18">
      <c r="A18" s="9" t="inlineStr">
        <is>
          <t>2027-05-30</t>
        </is>
      </c>
      <c r="B18" s="9" t="inlineStr">
        <is>
          <t>2027-05-15</t>
        </is>
      </c>
      <c r="C18" s="9" t="n">
        <v>575.34</v>
      </c>
      <c r="D18" s="9" t="n">
        <v>0</v>
      </c>
      <c r="E18" s="9" t="n">
        <v>575.34</v>
      </c>
      <c r="F18" s="9" t="inlineStr">
        <is>
          <t>2026-01-26</t>
        </is>
      </c>
      <c r="G18" s="9" t="inlineStr">
        <is>
          <t>2026-01-26 &lt;= 2027-05-15</t>
        </is>
      </c>
      <c r="H18" s="11" t="inlineStr">
        <is>
          <t>RECEIVED</t>
        </is>
      </c>
      <c r="I18" s="9" t="n">
        <v>489</v>
      </c>
      <c r="J18" s="9" t="n">
        <v>0.8643</v>
      </c>
      <c r="K18" s="6" t="n">
        <v>497.27</v>
      </c>
    </row>
    <row r="19">
      <c r="A19" s="9" t="inlineStr">
        <is>
          <t>2027-06-30</t>
        </is>
      </c>
      <c r="B19" s="9" t="inlineStr">
        <is>
          <t>2027-06-15</t>
        </is>
      </c>
      <c r="C19" s="9" t="n">
        <v>594.52</v>
      </c>
      <c r="D19" s="9" t="n">
        <v>50000</v>
      </c>
      <c r="E19" s="9" t="n">
        <v>50594.52</v>
      </c>
      <c r="F19" s="9" t="inlineStr">
        <is>
          <t>2026-01-26</t>
        </is>
      </c>
      <c r="G19" s="9" t="inlineStr">
        <is>
          <t>2026-01-26 &lt;= 2027-06-15</t>
        </is>
      </c>
      <c r="H19" s="11" t="inlineStr">
        <is>
          <t>RECEIVED</t>
        </is>
      </c>
      <c r="I19" s="9" t="n">
        <v>520</v>
      </c>
      <c r="J19" s="9" t="n">
        <v>0.8563460000000001</v>
      </c>
      <c r="K19" s="6" t="n">
        <v>43326.44</v>
      </c>
    </row>
    <row r="21">
      <c r="A21" s="12" t="inlineStr">
        <is>
          <t>SUMMARY</t>
        </is>
      </c>
    </row>
    <row r="22">
      <c r="A22" s="4" t="inlineStr">
        <is>
          <t>Total Cashflows:</t>
        </is>
      </c>
      <c r="B22" t="n">
        <v>18</v>
      </c>
    </row>
    <row r="23">
      <c r="A23" s="4" t="inlineStr">
        <is>
          <t>Missed (Record Date Passed):</t>
        </is>
      </c>
      <c r="B23" s="13" t="n">
        <v>1</v>
      </c>
    </row>
    <row r="24">
      <c r="A24" s="4" t="inlineStr">
        <is>
          <t>Received (Will Get):</t>
        </is>
      </c>
      <c r="B24" s="14" t="n">
        <v>17</v>
      </c>
    </row>
    <row r="25">
      <c r="A25" s="12" t="inlineStr">
        <is>
          <t>Clean Price (PV of Received):</t>
        </is>
      </c>
      <c r="B25" s="15" t="n">
        <v>103540.25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FORMULA REFERENCE</t>
        </is>
      </c>
    </row>
    <row r="3">
      <c r="A3" s="4" t="inlineStr">
        <is>
          <t>Record Date Calculation</t>
        </is>
      </c>
      <c r="B3" s="16">
        <f> Payment_Date - Cutoff_Days</f>
        <v/>
      </c>
    </row>
    <row r="4">
      <c r="A4" s="4" t="inlineStr">
        <is>
          <t>Record Check Logic</t>
        </is>
      </c>
      <c r="B4" s="16">
        <f> IF(Settlement_Date &lt;= Record_Date, "RECEIVED", "MISSED")</f>
        <v/>
      </c>
    </row>
    <row r="5">
      <c r="A5" s="4" t="inlineStr">
        <is>
          <t>Days to Payment</t>
        </is>
      </c>
      <c r="B5" s="16">
        <f> Payment_Date - Settlement_Date (only for RECEIVED payments)</f>
        <v/>
      </c>
    </row>
    <row r="6">
      <c r="A6" s="4" t="inlineStr">
        <is>
          <t>Years to Payment</t>
        </is>
      </c>
      <c r="B6" s="16">
        <f> Days_to_Payment / 365</f>
        <v/>
      </c>
    </row>
    <row r="7">
      <c r="A7" s="4" t="inlineStr">
        <is>
          <t>Discount Factor</t>
        </is>
      </c>
      <c r="B7" s="16">
        <f> 1 / ((1 + IRR) ^ Years_to_Payment)</f>
        <v/>
      </c>
    </row>
    <row r="8">
      <c r="A8" s="4" t="inlineStr">
        <is>
          <t>Present Value</t>
        </is>
      </c>
      <c r="B8" s="16">
        <f> Total_Cashflow × Discount_Factor</f>
        <v/>
      </c>
    </row>
    <row r="9">
      <c r="A9" s="4" t="inlineStr">
        <is>
          <t>Clean Price</t>
        </is>
      </c>
      <c r="B9" s="16">
        <f> SUM(PV of all RECEIVED payments)</f>
        <v/>
      </c>
    </row>
    <row r="10">
      <c r="A10" s="4" t="inlineStr">
        <is>
          <t>Premium/Discount %</t>
        </is>
      </c>
      <c r="B10" s="16">
        <f> (Clean_Price - Face_Value) / Face_Value × 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COMPARISON: INCORRECT vs CORRECT CALCULATION</t>
        </is>
      </c>
    </row>
    <row r="3">
      <c r="A3" s="17" t="inlineStr"/>
      <c r="B3" s="17" t="inlineStr">
        <is>
          <t>Incorrect (No Record Check)</t>
        </is>
      </c>
      <c r="C3" s="17" t="inlineStr">
        <is>
          <t>Correct (With Record Check)</t>
        </is>
      </c>
      <c r="D3" s="17" t="inlineStr">
        <is>
          <t>Difference</t>
        </is>
      </c>
    </row>
    <row r="4">
      <c r="A4" s="9" t="inlineStr">
        <is>
          <t>Settlement Date</t>
        </is>
      </c>
      <c r="B4" s="9" t="inlineStr">
        <is>
          <t>2026-01-26</t>
        </is>
      </c>
      <c r="C4" s="9" t="inlineStr">
        <is>
          <t>2026-01-26</t>
        </is>
      </c>
      <c r="D4" s="9" t="inlineStr">
        <is>
          <t>-</t>
        </is>
      </c>
    </row>
    <row r="5">
      <c r="A5" s="9" t="inlineStr">
        <is>
          <t>Cutoff Days</t>
        </is>
      </c>
      <c r="B5" s="9" t="inlineStr">
        <is>
          <t>15</t>
        </is>
      </c>
      <c r="C5" s="9" t="inlineStr">
        <is>
          <t>15</t>
        </is>
      </c>
      <c r="D5" s="9" t="inlineStr">
        <is>
          <t>-</t>
        </is>
      </c>
    </row>
    <row r="6">
      <c r="A6" s="9" t="inlineStr">
        <is>
          <t>Jan 30 Payment</t>
        </is>
      </c>
      <c r="B6" s="10" t="inlineStr">
        <is>
          <t>INCLUDED (Wrong!)</t>
        </is>
      </c>
      <c r="C6" s="11" t="inlineStr">
        <is>
          <t>EXCLUDED (Correct)</t>
        </is>
      </c>
      <c r="D6" s="9" t="inlineStr"/>
    </row>
    <row r="7">
      <c r="A7" s="9" t="inlineStr">
        <is>
          <t>Record Date for Jan 30</t>
        </is>
      </c>
      <c r="B7" s="9" t="inlineStr">
        <is>
          <t>-</t>
        </is>
      </c>
      <c r="C7" s="9" t="inlineStr">
        <is>
          <t>2026-01-15</t>
        </is>
      </c>
      <c r="D7" s="9" t="inlineStr"/>
    </row>
    <row r="8">
      <c r="A8" s="9" t="inlineStr">
        <is>
          <t>Why Jan 30 is excluded?</t>
        </is>
      </c>
      <c r="B8" s="9" t="inlineStr">
        <is>
          <t>-</t>
        </is>
      </c>
      <c r="C8" s="9" t="inlineStr">
        <is>
          <t>Settlement (Jan 26) &gt; Record (Jan 15)</t>
        </is>
      </c>
      <c r="D8" s="9" t="inlineStr"/>
    </row>
    <row r="9">
      <c r="A9" s="9" t="inlineStr">
        <is>
          <t>Remaining Payments</t>
        </is>
      </c>
      <c r="B9" s="9" t="inlineStr">
        <is>
          <t>18</t>
        </is>
      </c>
      <c r="C9" s="9" t="inlineStr">
        <is>
          <t>17</t>
        </is>
      </c>
      <c r="D9" s="9" t="inlineStr">
        <is>
          <t>-1</t>
        </is>
      </c>
    </row>
    <row r="10">
      <c r="A10" s="9" t="inlineStr">
        <is>
          <t>Clean Price (₹)</t>
        </is>
      </c>
      <c r="B10" s="9" t="inlineStr">
        <is>
          <t>104,727.87</t>
        </is>
      </c>
      <c r="C10" s="9" t="inlineStr">
        <is>
          <t>103,540.25</t>
        </is>
      </c>
      <c r="D10" s="9" t="inlineStr">
        <is>
          <t>-1,187.62</t>
        </is>
      </c>
    </row>
    <row r="11">
      <c r="A11" s="9" t="inlineStr">
        <is>
          <t>Conclusion</t>
        </is>
      </c>
      <c r="B11" s="10" t="inlineStr">
        <is>
          <t>OVERPAYS by ₹1,188</t>
        </is>
      </c>
      <c r="C11" s="9" t="inlineStr">
        <is>
          <t>CORRECT PRICE</t>
        </is>
      </c>
      <c r="D11" s="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2026-01-19T16:00:16Z</dcterms:created>
  <dcterms:modified xsi:type="dcterms:W3CDTF">2026-01-19T16:00:16Z</dcterms:modified>
</cp:coreProperties>
</file>