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4762e3d45f1f39c/Desktop/"/>
    </mc:Choice>
  </mc:AlternateContent>
  <xr:revisionPtr revIDLastSave="0" documentId="8_{B6F51A37-8FA4-42C8-B29E-281CC32ECF2C}" xr6:coauthVersionLast="47" xr6:coauthVersionMax="47" xr10:uidLastSave="{00000000-0000-0000-0000-000000000000}"/>
  <bookViews>
    <workbookView xWindow="-108" yWindow="-108" windowWidth="23256" windowHeight="12456" xr2:uid="{1CFD84C5-514F-456E-A418-F3116720EF0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28" i="1" l="1"/>
  <c r="A27" i="1"/>
  <c r="A25" i="1"/>
  <c r="A24" i="1"/>
  <c r="A22" i="1"/>
  <c r="A20" i="1"/>
  <c r="A19" i="1"/>
  <c r="A17" i="1"/>
  <c r="A18" i="1" s="1"/>
  <c r="A21" i="1" s="1"/>
  <c r="A23" i="1" s="1"/>
  <c r="A16" i="1"/>
  <c r="A26" i="1" l="1"/>
  <c r="A29" i="1" s="1"/>
  <c r="I1" i="1" l="1"/>
  <c r="G11" i="1"/>
  <c r="F16" i="1"/>
  <c r="G16" i="1" s="1"/>
  <c r="E12" i="1"/>
  <c r="B13" i="1"/>
  <c r="F13" i="1" s="1"/>
  <c r="G13" i="1" s="1"/>
  <c r="B14" i="1"/>
  <c r="F14" i="1" s="1"/>
  <c r="G14" i="1" s="1"/>
  <c r="B15" i="1"/>
  <c r="F15" i="1" s="1"/>
  <c r="G15" i="1" s="1"/>
  <c r="B16" i="1"/>
  <c r="B12" i="1"/>
  <c r="F12" i="1" s="1"/>
  <c r="E14" i="1"/>
  <c r="E15" i="1" s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13" i="1"/>
  <c r="D28" i="1"/>
  <c r="D27" i="1"/>
  <c r="B18" i="1"/>
  <c r="F18" i="1" s="1"/>
  <c r="G18" i="1" s="1"/>
  <c r="I12" i="1" l="1"/>
  <c r="J12" i="1" s="1"/>
  <c r="I14" i="1"/>
  <c r="J14" i="1" s="1"/>
  <c r="I15" i="1"/>
  <c r="J15" i="1" s="1"/>
  <c r="I16" i="1"/>
  <c r="J16" i="1" s="1"/>
  <c r="I17" i="1"/>
  <c r="J17" i="1" s="1"/>
  <c r="I18" i="1"/>
  <c r="J18" i="1" s="1"/>
  <c r="I19" i="1"/>
  <c r="J19" i="1" s="1"/>
  <c r="I20" i="1"/>
  <c r="J20" i="1" s="1"/>
  <c r="I21" i="1"/>
  <c r="J21" i="1" s="1"/>
  <c r="I22" i="1"/>
  <c r="J22" i="1" s="1"/>
  <c r="I23" i="1"/>
  <c r="J23" i="1" s="1"/>
  <c r="I24" i="1"/>
  <c r="J24" i="1" s="1"/>
  <c r="I25" i="1"/>
  <c r="J25" i="1" s="1"/>
  <c r="I26" i="1"/>
  <c r="J26" i="1" s="1"/>
  <c r="I27" i="1"/>
  <c r="J27" i="1" s="1"/>
  <c r="I28" i="1"/>
  <c r="J28" i="1" s="1"/>
  <c r="I13" i="1"/>
  <c r="J13" i="1" s="1"/>
  <c r="I29" i="1"/>
  <c r="J29" i="1" s="1"/>
  <c r="B17" i="1"/>
  <c r="F17" i="1" s="1"/>
  <c r="G17" i="1" s="1"/>
  <c r="G12" i="1"/>
  <c r="B19" i="1" l="1"/>
  <c r="F19" i="1" s="1"/>
  <c r="B21" i="1" l="1"/>
  <c r="F21" i="1" s="1"/>
  <c r="G21" i="1" s="1"/>
  <c r="G19" i="1"/>
  <c r="B20" i="1"/>
  <c r="F20" i="1" s="1"/>
  <c r="G20" i="1" s="1"/>
  <c r="B22" i="1" l="1"/>
  <c r="F22" i="1" s="1"/>
  <c r="G22" i="1" s="1"/>
  <c r="B23" i="1" l="1"/>
  <c r="F23" i="1" s="1"/>
  <c r="G23" i="1" s="1"/>
  <c r="B24" i="1" l="1"/>
  <c r="F24" i="1" s="1"/>
  <c r="G24" i="1" l="1"/>
  <c r="B25" i="1"/>
  <c r="F25" i="1" s="1"/>
  <c r="G25" i="1" s="1"/>
  <c r="B26" i="1" l="1"/>
  <c r="F26" i="1" s="1"/>
  <c r="G26" i="1" s="1"/>
  <c r="B27" i="1" l="1"/>
  <c r="F27" i="1" s="1"/>
  <c r="G27" i="1" s="1"/>
  <c r="B28" i="1" l="1"/>
  <c r="F28" i="1" s="1"/>
  <c r="G28" i="1" s="1"/>
  <c r="B29" i="1" l="1"/>
  <c r="F29" i="1" s="1"/>
  <c r="G29" i="1" l="1"/>
  <c r="F31" i="1"/>
  <c r="G31" i="1" l="1"/>
  <c r="G30" i="1"/>
  <c r="J30" i="1"/>
  <c r="L32" i="1" l="1"/>
  <c r="M30" i="1"/>
  <c r="M31" i="1" s="1"/>
</calcChain>
</file>

<file path=xl/sharedStrings.xml><?xml version="1.0" encoding="utf-8"?>
<sst xmlns="http://schemas.openxmlformats.org/spreadsheetml/2006/main" count="21" uniqueCount="18">
  <si>
    <t>FV</t>
  </si>
  <si>
    <t xml:space="preserve">Coupon </t>
  </si>
  <si>
    <t>IRR</t>
  </si>
  <si>
    <t>Client</t>
  </si>
  <si>
    <t>Start Date</t>
  </si>
  <si>
    <t>End date</t>
  </si>
  <si>
    <t>Interest payout</t>
  </si>
  <si>
    <t>monthly</t>
  </si>
  <si>
    <t>principal payuot</t>
  </si>
  <si>
    <t>Date</t>
  </si>
  <si>
    <t>Cashflow</t>
  </si>
  <si>
    <t xml:space="preserve">Principal Repayment </t>
  </si>
  <si>
    <t>Interest Repayment</t>
  </si>
  <si>
    <t>Balance Principal</t>
  </si>
  <si>
    <t>No of days</t>
  </si>
  <si>
    <t>Total Payout</t>
  </si>
  <si>
    <t>Sell date</t>
  </si>
  <si>
    <t>Accrued interest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</si>
</sst>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1">
    <xf numFmtId="0" fontId="0" fillId="0" borderId="0" xfId="0"/>
    <xf numFmtId="43" fontId="0" fillId="0" borderId="0" xfId="1" applyFont="1"/>
    <xf numFmtId="9" fontId="0" fillId="0" borderId="0" xfId="1" applyNumberFormat="1" applyFont="1"/>
    <xf numFmtId="10" fontId="0" fillId="0" borderId="0" xfId="1" applyNumberFormat="1" applyFont="1"/>
    <xf numFmtId="15" fontId="0" fillId="0" borderId="0" xfId="1" applyNumberFormat="1" applyFont="1"/>
    <xf numFmtId="14" fontId="0" fillId="0" borderId="0" xfId="1" applyNumberFormat="1" applyFont="1"/>
    <xf numFmtId="15" fontId="0" fillId="0" borderId="0" xfId="0" applyNumberFormat="1"/>
    <xf numFmtId="43" fontId="0" fillId="0" borderId="0" xfId="0" applyNumberFormat="1"/>
    <xf numFmtId="2" fontId="0" fillId="0" borderId="0" xfId="0" applyNumberFormat="1"/>
    <xf numFmtId="10" fontId="0" fillId="0" borderId="0" xfId="2" applyNumberFormat="1" applyFont="1"/>
    <xf numFmtId="14" fontId="0" fillId="0" borderId="0" xfId="0" applyNumberFormat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2CDE25-37F8-48F0-9136-1158C8E92036}">
  <dimension ref="A1:M32"/>
  <sheetViews>
    <sheetView tabSelected="1" workbookViewId="0">
      <selection activeCell="F33" sqref="F33"/>
    </sheetView>
  </sheetViews>
  <sheetFormatPr defaultRowHeight="14.4" x14ac:dyDescent="0.3"/>
  <cols>
    <col min="1" max="1" width="14.109375" bestFit="1" customWidth="1"/>
    <col min="2" max="2" width="14.109375" customWidth="1"/>
    <col min="3" max="3" width="12" style="1" bestFit="1" customWidth="1"/>
    <col min="4" max="4" width="18.21875" bestFit="1" customWidth="1"/>
    <col min="5" max="5" width="18.21875" customWidth="1"/>
    <col min="6" max="6" width="17.21875" bestFit="1" customWidth="1"/>
    <col min="7" max="7" width="12" bestFit="1" customWidth="1"/>
    <col min="9" max="9" width="10.33203125" bestFit="1" customWidth="1"/>
    <col min="10" max="11" width="11.33203125" bestFit="1" customWidth="1"/>
    <col min="12" max="12" width="14.33203125" bestFit="1" customWidth="1"/>
    <col min="13" max="13" width="11.33203125" bestFit="1" customWidth="1"/>
  </cols>
  <sheetData>
    <row r="1" spans="1:10" x14ac:dyDescent="0.3">
      <c r="A1" t="s">
        <v>0</v>
      </c>
      <c r="C1" s="1">
        <v>100000</v>
      </c>
      <c r="H1" t="s">
        <v>16</v>
      </c>
      <c r="I1" s="10">
        <f ca="1">TODAY()</f>
        <v>46042</v>
      </c>
    </row>
    <row r="2" spans="1:10" x14ac:dyDescent="0.3">
      <c r="A2" t="s">
        <v>1</v>
      </c>
      <c r="C2" s="2">
        <v>0.14000000000000001</v>
      </c>
    </row>
    <row r="3" spans="1:10" x14ac:dyDescent="0.3">
      <c r="A3" t="s">
        <v>2</v>
      </c>
      <c r="C3" s="3">
        <v>0.14929999999999999</v>
      </c>
    </row>
    <row r="4" spans="1:10" x14ac:dyDescent="0.3">
      <c r="A4" t="s">
        <v>3</v>
      </c>
      <c r="C4" s="3">
        <v>0.115</v>
      </c>
    </row>
    <row r="5" spans="1:10" x14ac:dyDescent="0.3">
      <c r="A5" t="s">
        <v>4</v>
      </c>
      <c r="C5" s="4">
        <v>46021</v>
      </c>
    </row>
    <row r="6" spans="1:10" x14ac:dyDescent="0.3">
      <c r="A6" t="s">
        <v>5</v>
      </c>
      <c r="C6" s="5">
        <v>46568</v>
      </c>
    </row>
    <row r="7" spans="1:10" x14ac:dyDescent="0.3">
      <c r="A7" t="s">
        <v>6</v>
      </c>
      <c r="C7" s="1" t="s">
        <v>7</v>
      </c>
    </row>
    <row r="8" spans="1:10" x14ac:dyDescent="0.3">
      <c r="A8" t="s">
        <v>8</v>
      </c>
      <c r="C8" s="1" t="s">
        <v>7</v>
      </c>
    </row>
    <row r="10" spans="1:10" x14ac:dyDescent="0.3">
      <c r="A10" t="s">
        <v>9</v>
      </c>
      <c r="B10" t="s">
        <v>14</v>
      </c>
      <c r="C10" s="1" t="s">
        <v>10</v>
      </c>
      <c r="D10" t="s">
        <v>11</v>
      </c>
      <c r="E10" t="s">
        <v>13</v>
      </c>
      <c r="F10" t="s">
        <v>12</v>
      </c>
      <c r="G10" t="s">
        <v>15</v>
      </c>
      <c r="I10" t="s">
        <v>14</v>
      </c>
      <c r="J10" t="s">
        <v>10</v>
      </c>
    </row>
    <row r="11" spans="1:10" x14ac:dyDescent="0.3">
      <c r="A11" s="6">
        <v>46022</v>
      </c>
      <c r="C11" s="1">
        <v>-100000</v>
      </c>
      <c r="G11" s="7">
        <f>C11</f>
        <v>-100000</v>
      </c>
    </row>
    <row r="12" spans="1:10" x14ac:dyDescent="0.3">
      <c r="A12" s="6">
        <v>46052</v>
      </c>
      <c r="B12" s="8">
        <f>A12-A11</f>
        <v>30</v>
      </c>
      <c r="D12" s="7">
        <v>0</v>
      </c>
      <c r="E12" s="7">
        <f>-C11-D12</f>
        <v>100000</v>
      </c>
      <c r="F12" s="7">
        <f>(E12*B12*$C$2)/365</f>
        <v>1150.6849315068496</v>
      </c>
      <c r="G12" s="7">
        <f>D12+F12</f>
        <v>1150.6849315068496</v>
      </c>
      <c r="I12">
        <f ca="1">A12-$I$1+1</f>
        <v>11</v>
      </c>
      <c r="J12" s="7">
        <f ca="1">G12/(1+$C$4)^(I12/365)</f>
        <v>1146.9162443443277</v>
      </c>
    </row>
    <row r="13" spans="1:10" x14ac:dyDescent="0.3">
      <c r="A13" s="6">
        <v>46081</v>
      </c>
      <c r="B13" s="8">
        <f>A13-A12</f>
        <v>29</v>
      </c>
      <c r="D13" s="7"/>
      <c r="E13" s="7">
        <f>-C11-D11</f>
        <v>100000</v>
      </c>
      <c r="F13" s="7">
        <f t="shared" ref="F13:F29" si="0">(E13*B13*$C$2)/365</f>
        <v>1112.3287671232879</v>
      </c>
      <c r="G13" s="7">
        <f t="shared" ref="G13:G29" si="1">D13+F13</f>
        <v>1112.3287671232879</v>
      </c>
      <c r="I13">
        <f t="shared" ref="I13:I29" ca="1" si="2">A13-$I$1+1</f>
        <v>40</v>
      </c>
      <c r="J13" s="7">
        <f t="shared" ref="J13:J29" ca="1" si="3">G13/(1+$C$4)^(I13/365)</f>
        <v>1099.1383516457931</v>
      </c>
    </row>
    <row r="14" spans="1:10" x14ac:dyDescent="0.3">
      <c r="A14" s="6">
        <v>46111</v>
      </c>
      <c r="B14" s="8">
        <f>A14-A13</f>
        <v>30</v>
      </c>
      <c r="D14" s="7"/>
      <c r="E14" s="7">
        <f>E13-D13</f>
        <v>100000</v>
      </c>
      <c r="F14" s="7">
        <f t="shared" si="0"/>
        <v>1150.6849315068496</v>
      </c>
      <c r="G14" s="7">
        <f t="shared" si="1"/>
        <v>1150.6849315068496</v>
      </c>
      <c r="I14">
        <f t="shared" ca="1" si="2"/>
        <v>70</v>
      </c>
      <c r="J14" s="7">
        <f t="shared" ca="1" si="3"/>
        <v>1126.9120246228183</v>
      </c>
    </row>
    <row r="15" spans="1:10" x14ac:dyDescent="0.3">
      <c r="A15" s="6">
        <v>46142</v>
      </c>
      <c r="B15" s="8">
        <f>A15-A14</f>
        <v>31</v>
      </c>
      <c r="D15" s="7"/>
      <c r="E15" s="7">
        <f>E14-D14</f>
        <v>100000</v>
      </c>
      <c r="F15" s="7">
        <f t="shared" si="0"/>
        <v>1189.041095890411</v>
      </c>
      <c r="G15" s="7">
        <f t="shared" si="1"/>
        <v>1189.041095890411</v>
      </c>
      <c r="I15">
        <f t="shared" ca="1" si="2"/>
        <v>101</v>
      </c>
      <c r="J15" s="7">
        <f t="shared" ca="1" si="3"/>
        <v>1153.7595967053617</v>
      </c>
    </row>
    <row r="16" spans="1:10" x14ac:dyDescent="0.3">
      <c r="A16" s="6">
        <f>A15+30</f>
        <v>46172</v>
      </c>
      <c r="B16" s="8">
        <f>A16-A15</f>
        <v>30</v>
      </c>
      <c r="D16" s="7"/>
      <c r="E16" s="7">
        <f>E15-D15</f>
        <v>100000</v>
      </c>
      <c r="F16" s="7">
        <f t="shared" si="0"/>
        <v>1150.6849315068496</v>
      </c>
      <c r="G16" s="7">
        <f t="shared" si="1"/>
        <v>1150.6849315068496</v>
      </c>
      <c r="I16">
        <f t="shared" ca="1" si="2"/>
        <v>131</v>
      </c>
      <c r="J16" s="7">
        <f t="shared" ca="1" si="3"/>
        <v>1106.5964732086034</v>
      </c>
    </row>
    <row r="17" spans="1:13" x14ac:dyDescent="0.3">
      <c r="A17" s="6">
        <f>A16+31</f>
        <v>46203</v>
      </c>
      <c r="B17" s="8">
        <f>A17-A16</f>
        <v>31</v>
      </c>
      <c r="D17" s="7"/>
      <c r="E17" s="7">
        <f>E16-D16</f>
        <v>100000</v>
      </c>
      <c r="F17" s="7">
        <f t="shared" si="0"/>
        <v>1189.041095890411</v>
      </c>
      <c r="G17" s="7">
        <f t="shared" si="1"/>
        <v>1189.041095890411</v>
      </c>
      <c r="I17">
        <f t="shared" ca="1" si="2"/>
        <v>162</v>
      </c>
      <c r="J17" s="7">
        <f t="shared" ca="1" si="3"/>
        <v>1132.9600472335592</v>
      </c>
    </row>
    <row r="18" spans="1:13" x14ac:dyDescent="0.3">
      <c r="A18" s="6">
        <f t="shared" ref="A17:A29" si="4">A17+30</f>
        <v>46233</v>
      </c>
      <c r="B18" s="8">
        <f>A18-A17</f>
        <v>30</v>
      </c>
      <c r="D18" s="7"/>
      <c r="E18" s="7">
        <f>E17-D17</f>
        <v>100000</v>
      </c>
      <c r="F18" s="7">
        <f t="shared" si="0"/>
        <v>1150.6849315068496</v>
      </c>
      <c r="G18" s="7">
        <f t="shared" si="1"/>
        <v>1150.6849315068496</v>
      </c>
      <c r="I18">
        <f t="shared" ca="1" si="2"/>
        <v>192</v>
      </c>
      <c r="J18" s="7">
        <f t="shared" ca="1" si="3"/>
        <v>1086.6471630095375</v>
      </c>
    </row>
    <row r="19" spans="1:13" x14ac:dyDescent="0.3">
      <c r="A19" s="6">
        <f>A18+31</f>
        <v>46264</v>
      </c>
      <c r="B19" s="8">
        <f>A19-A18</f>
        <v>31</v>
      </c>
      <c r="D19" s="7"/>
      <c r="E19" s="7">
        <f>E18-D18</f>
        <v>100000</v>
      </c>
      <c r="F19" s="7">
        <f t="shared" si="0"/>
        <v>1189.041095890411</v>
      </c>
      <c r="G19" s="7">
        <f t="shared" si="1"/>
        <v>1189.041095890411</v>
      </c>
      <c r="I19">
        <f t="shared" ca="1" si="2"/>
        <v>223</v>
      </c>
      <c r="J19" s="7">
        <f t="shared" ca="1" si="3"/>
        <v>1112.5354643141177</v>
      </c>
    </row>
    <row r="20" spans="1:13" x14ac:dyDescent="0.3">
      <c r="A20" s="6">
        <f>A19+31</f>
        <v>46295</v>
      </c>
      <c r="B20" s="8">
        <f>A20-A19</f>
        <v>31</v>
      </c>
      <c r="D20" s="7"/>
      <c r="E20" s="7">
        <f>E19-D19</f>
        <v>100000</v>
      </c>
      <c r="F20" s="7">
        <f t="shared" si="0"/>
        <v>1189.041095890411</v>
      </c>
      <c r="G20" s="7">
        <f t="shared" si="1"/>
        <v>1189.041095890411</v>
      </c>
      <c r="I20">
        <f t="shared" ca="1" si="2"/>
        <v>254</v>
      </c>
      <c r="J20" s="7">
        <f t="shared" ca="1" si="3"/>
        <v>1102.2972860986606</v>
      </c>
    </row>
    <row r="21" spans="1:13" x14ac:dyDescent="0.3">
      <c r="A21" s="6">
        <f t="shared" si="4"/>
        <v>46325</v>
      </c>
      <c r="B21" s="8">
        <f>A21-A20</f>
        <v>30</v>
      </c>
      <c r="D21" s="7"/>
      <c r="E21" s="7">
        <f>E20-D20</f>
        <v>100000</v>
      </c>
      <c r="F21" s="7">
        <f t="shared" si="0"/>
        <v>1150.6849315068496</v>
      </c>
      <c r="G21" s="7">
        <f t="shared" si="1"/>
        <v>1150.6849315068496</v>
      </c>
      <c r="I21">
        <f t="shared" ca="1" si="2"/>
        <v>284</v>
      </c>
      <c r="J21" s="7">
        <f t="shared" ca="1" si="3"/>
        <v>1057.2378272799715</v>
      </c>
    </row>
    <row r="22" spans="1:13" x14ac:dyDescent="0.3">
      <c r="A22" s="6">
        <f>A21+31</f>
        <v>46356</v>
      </c>
      <c r="B22" s="8">
        <f>A22-A21</f>
        <v>31</v>
      </c>
      <c r="D22" s="7"/>
      <c r="E22" s="7">
        <f>E21-D21</f>
        <v>100000</v>
      </c>
      <c r="F22" s="7">
        <f t="shared" si="0"/>
        <v>1189.041095890411</v>
      </c>
      <c r="G22" s="7">
        <f t="shared" si="1"/>
        <v>1189.041095890411</v>
      </c>
      <c r="I22">
        <f t="shared" ca="1" si="2"/>
        <v>315</v>
      </c>
      <c r="J22" s="7">
        <f t="shared" ca="1" si="3"/>
        <v>1082.4254800479778</v>
      </c>
    </row>
    <row r="23" spans="1:13" x14ac:dyDescent="0.3">
      <c r="A23" s="6">
        <f t="shared" si="4"/>
        <v>46386</v>
      </c>
      <c r="B23" s="8">
        <f>A23-A22</f>
        <v>30</v>
      </c>
      <c r="D23" s="7"/>
      <c r="E23" s="7">
        <f>E22-D22</f>
        <v>100000</v>
      </c>
      <c r="F23" s="7">
        <f t="shared" si="0"/>
        <v>1150.6849315068496</v>
      </c>
      <c r="G23" s="7">
        <f t="shared" si="1"/>
        <v>1150.6849315068496</v>
      </c>
      <c r="I23">
        <f t="shared" ca="1" si="2"/>
        <v>345</v>
      </c>
      <c r="J23" s="7">
        <f t="shared" ca="1" si="3"/>
        <v>1038.1783364165672</v>
      </c>
    </row>
    <row r="24" spans="1:13" x14ac:dyDescent="0.3">
      <c r="A24" s="6">
        <f>A23+31</f>
        <v>46417</v>
      </c>
      <c r="B24" s="8">
        <f>A24-A23</f>
        <v>31</v>
      </c>
      <c r="D24" s="7"/>
      <c r="E24" s="7">
        <f>E23-D23</f>
        <v>100000</v>
      </c>
      <c r="F24" s="7">
        <f t="shared" si="0"/>
        <v>1189.041095890411</v>
      </c>
      <c r="G24" s="7">
        <f t="shared" si="1"/>
        <v>1189.041095890411</v>
      </c>
      <c r="I24">
        <f t="shared" ca="1" si="2"/>
        <v>376</v>
      </c>
      <c r="J24" s="7">
        <f t="shared" ca="1" si="3"/>
        <v>1062.9119155358492</v>
      </c>
    </row>
    <row r="25" spans="1:13" x14ac:dyDescent="0.3">
      <c r="A25" s="6">
        <f>A24+29</f>
        <v>46446</v>
      </c>
      <c r="B25" s="8">
        <f>A25-A24</f>
        <v>29</v>
      </c>
      <c r="D25" s="7"/>
      <c r="E25" s="7">
        <f>E24-D24</f>
        <v>100000</v>
      </c>
      <c r="F25" s="7">
        <f t="shared" si="0"/>
        <v>1112.3287671232879</v>
      </c>
      <c r="G25" s="7">
        <f t="shared" si="1"/>
        <v>1112.3287671232879</v>
      </c>
      <c r="I25">
        <f t="shared" ca="1" si="2"/>
        <v>405</v>
      </c>
      <c r="J25" s="7">
        <f t="shared" ca="1" si="3"/>
        <v>985.77430640878288</v>
      </c>
    </row>
    <row r="26" spans="1:13" x14ac:dyDescent="0.3">
      <c r="A26" s="6">
        <f t="shared" si="4"/>
        <v>46476</v>
      </c>
      <c r="B26" s="8">
        <f>A26-A25</f>
        <v>30</v>
      </c>
      <c r="D26" s="7">
        <v>50000</v>
      </c>
      <c r="E26" s="7">
        <f>E25-D25</f>
        <v>100000</v>
      </c>
      <c r="F26" s="7">
        <f t="shared" si="0"/>
        <v>1150.6849315068496</v>
      </c>
      <c r="G26" s="7">
        <f t="shared" si="1"/>
        <v>51150.684931506847</v>
      </c>
      <c r="I26">
        <f t="shared" ca="1" si="2"/>
        <v>435</v>
      </c>
      <c r="J26" s="7">
        <f t="shared" ca="1" si="3"/>
        <v>44927.284859508887</v>
      </c>
    </row>
    <row r="27" spans="1:13" x14ac:dyDescent="0.3">
      <c r="A27" s="6">
        <f>A26+31</f>
        <v>46507</v>
      </c>
      <c r="B27" s="8">
        <f>A27-A26</f>
        <v>31</v>
      </c>
      <c r="D27" s="7">
        <f t="shared" ref="D27:D28" si="5">C26/18</f>
        <v>0</v>
      </c>
      <c r="E27" s="7">
        <f>E26-D26</f>
        <v>50000</v>
      </c>
      <c r="F27" s="7">
        <f t="shared" si="0"/>
        <v>594.52054794520552</v>
      </c>
      <c r="G27" s="7">
        <f t="shared" si="1"/>
        <v>594.52054794520552</v>
      </c>
      <c r="I27">
        <f t="shared" ca="1" si="2"/>
        <v>466</v>
      </c>
      <c r="J27" s="7">
        <f t="shared" ca="1" si="3"/>
        <v>517.3809850696689</v>
      </c>
    </row>
    <row r="28" spans="1:13" x14ac:dyDescent="0.3">
      <c r="A28" s="6">
        <f>A27+31</f>
        <v>46538</v>
      </c>
      <c r="B28" s="8">
        <f>A28-A27</f>
        <v>31</v>
      </c>
      <c r="D28" s="7">
        <f t="shared" si="5"/>
        <v>0</v>
      </c>
      <c r="E28" s="7">
        <f>E27-D27</f>
        <v>50000</v>
      </c>
      <c r="F28" s="7">
        <f t="shared" si="0"/>
        <v>594.52054794520552</v>
      </c>
      <c r="G28" s="7">
        <f t="shared" si="1"/>
        <v>594.52054794520552</v>
      </c>
      <c r="I28">
        <f t="shared" ca="1" si="2"/>
        <v>497</v>
      </c>
      <c r="J28" s="7">
        <f t="shared" ca="1" si="3"/>
        <v>512.61975371989115</v>
      </c>
    </row>
    <row r="29" spans="1:13" x14ac:dyDescent="0.3">
      <c r="A29" s="6">
        <f t="shared" si="4"/>
        <v>46568</v>
      </c>
      <c r="B29" s="8">
        <f>A29-A28</f>
        <v>30</v>
      </c>
      <c r="D29" s="7">
        <v>50000</v>
      </c>
      <c r="E29" s="7">
        <f>E28-D28</f>
        <v>50000</v>
      </c>
      <c r="F29" s="7">
        <f t="shared" si="0"/>
        <v>575.34246575342479</v>
      </c>
      <c r="G29" s="7">
        <f t="shared" si="1"/>
        <v>50575.342465753427</v>
      </c>
      <c r="I29">
        <f t="shared" ca="1" si="2"/>
        <v>527</v>
      </c>
      <c r="J29" s="7">
        <f t="shared" ca="1" si="3"/>
        <v>43219.694719951025</v>
      </c>
    </row>
    <row r="30" spans="1:13" x14ac:dyDescent="0.3">
      <c r="E30" s="7">
        <f>E29-D29</f>
        <v>0</v>
      </c>
      <c r="G30" s="7">
        <f>SUM(G12:G29)</f>
        <v>119178.08219178085</v>
      </c>
      <c r="J30" s="7">
        <f ca="1">SUM(J12:J29)</f>
        <v>104471.2708351214</v>
      </c>
      <c r="L30" t="s">
        <v>17</v>
      </c>
      <c r="M30" s="7">
        <f ca="1">J30*C4*I12/365</f>
        <v>362.07166467514679</v>
      </c>
    </row>
    <row r="31" spans="1:13" x14ac:dyDescent="0.3">
      <c r="F31" s="7">
        <f>SUM(F12:F29)</f>
        <v>19178.082191780821</v>
      </c>
      <c r="G31" s="9">
        <f>XIRR(G11:G29,A11:A29,0)</f>
        <v>0.14934519042968758</v>
      </c>
      <c r="M31" s="7">
        <f ca="1">J30-M30</f>
        <v>104109.19917044624</v>
      </c>
    </row>
    <row r="32" spans="1:13" x14ac:dyDescent="0.3">
      <c r="L32" s="7">
        <f ca="1">J30-J12</f>
        <v>103324.35459077706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Punit Bisani</dc:creator>
  <cp:lastModifiedBy>Punit Bisani</cp:lastModifiedBy>
  <cp:lastPrinted>2026-01-20T09:16:21Z</cp:lastPrinted>
  <dcterms:created xsi:type="dcterms:W3CDTF">2026-01-20T08:41:51Z</dcterms:created>
  <dcterms:modified xsi:type="dcterms:W3CDTF">2026-01-20T09:23:04Z</dcterms:modified>
</cp:coreProperties>
</file>